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acbookpro/Desktop/Machine_Learning/challenge_data_ens/data_challenge_qrt/"/>
    </mc:Choice>
  </mc:AlternateContent>
  <xr:revisionPtr revIDLastSave="0" documentId="13_ncr:1_{89B095CB-1FA5-F649-A492-DAF38B7B57B7}" xr6:coauthVersionLast="47" xr6:coauthVersionMax="47" xr10:uidLastSave="{00000000-0000-0000-0000-000000000000}"/>
  <bookViews>
    <workbookView minimized="1" xWindow="0" yWindow="760" windowWidth="34560" windowHeight="20120" tabRatio="500" xr2:uid="{00000000-000D-0000-FFFF-FFFF00000000}"/>
  </bookViews>
  <sheets>
    <sheet name="Features" sheetId="1" r:id="rId1"/>
    <sheet name="Feuil1" sheetId="4" r:id="rId2"/>
    <sheet name="Références" sheetId="2" r:id="rId3"/>
    <sheet name="Écartées" sheetId="3" r:id="rId4"/>
  </sheets>
  <definedNames>
    <definedName name="_xlnm._FilterDatabase" localSheetId="0" hidden="1">Features!$A$5:$G$31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  <c r="B2" i="4"/>
  <c r="F3" i="1"/>
  <c r="D3" i="1"/>
  <c r="B3" i="1"/>
</calcChain>
</file>

<file path=xl/sharedStrings.xml><?xml version="1.0" encoding="utf-8"?>
<sst xmlns="http://schemas.openxmlformats.org/spreadsheetml/2006/main" count="314" uniqueCount="236">
  <si>
    <t>Features adossées à la littérature — challenge QRT Asset Allocation</t>
  </si>
  <si>
    <t>Statut : Établie = la construction vient du papier cité. Adaptée = le papier existe mais le transfert d'horizon ou d'objet économique est mon fait. Les features de mon invention sont dans l'onglet « Écartées », pas ici.</t>
  </si>
  <si>
    <t>Établies :</t>
  </si>
  <si>
    <t>Adaptées :</t>
  </si>
  <si>
    <t>Total lignes :</t>
  </si>
  <si>
    <t>Pt</t>
  </si>
  <si>
    <t>Feature</t>
  </si>
  <si>
    <t>Statut</t>
  </si>
  <si>
    <t>Référence</t>
  </si>
  <si>
    <t>Calcul sur tes colonnes</t>
  </si>
  <si>
    <t>Signe attendu</t>
  </si>
  <si>
    <t>Réserve</t>
  </si>
  <si>
    <t>0</t>
  </si>
  <si>
    <t>mkt_k (k=1..20)</t>
  </si>
  <si>
    <t>Établie</t>
  </si>
  <si>
    <t>Prealable — permet 4,5,7,8,10</t>
  </si>
  <si>
    <t>Moyenne cross-sectionnelle de RET_k sur toutes les allocations de la date. Donne le rendement du marché en t-k, donc une trajectoire de 20 jours disponible à la date t sans reconstruire la chronologie.</t>
  </si>
  <si>
    <t>—</t>
  </si>
  <si>
    <t>Retirer l'allocation elle-même du calcul (leave-one-out) : mkt_excl = (N*mkt - RET_k)/(N-1). Sinon le bêta est biaisé vers le haut et le résidu mécaniquement rétréci.</t>
  </si>
  <si>
    <t>mkt_ret_20 / mkt_vol_20</t>
  </si>
  <si>
    <t>Prealable</t>
  </si>
  <si>
    <t>Moyenne et écart-type de la trajectoire mkt_1..mkt_20.</t>
  </si>
  <si>
    <t>Constant par date : c'est un descripteur de régime, pas un signal.</t>
  </si>
  <si>
    <t>1</t>
  </si>
  <si>
    <t>fmom_sign_20</t>
  </si>
  <si>
    <t>Ehsani &amp; Linnainmaa (JF 2022)</t>
  </si>
  <si>
    <t>sign(somme des RET_1..RET_20). Binaire, pas la moyenne : la construction de la littérature est directionnelle (long si passé positif).</t>
  </si>
  <si>
    <t>Positif</t>
  </si>
  <si>
    <t>Horizon littérature 1–12 mois contre 20 jours ici. Extrapolation assumée.</t>
  </si>
  <si>
    <t>fmom_sign_5</t>
  </si>
  <si>
    <t>sign(somme des RET_1..RET_5).</t>
  </si>
  <si>
    <t>Même réserve d'horizon, aggravée.</t>
  </si>
  <si>
    <t>2</t>
  </si>
  <si>
    <t>tsmom_1 / tsmom_5 / tsmom_20</t>
  </si>
  <si>
    <t>Moskowitz, Ooi &amp; Pedersen (JFE 2012)</t>
  </si>
  <si>
    <t>moyenne(RET_1..RET_w) / vol_20, pour w = 1, 5, 20. vol_20 = écart-type des 20 lags.</t>
  </si>
  <si>
    <t>Rend le momentum comparable entre allocations d'échelles de vol différentes, ce que le rendement brut ne fait pas.</t>
  </si>
  <si>
    <t>3</t>
  </si>
  <si>
    <t>inv_var</t>
  </si>
  <si>
    <t>Moreira &amp; Muir (JFE 2017)</t>
  </si>
  <si>
    <t>1 / vol_20².</t>
  </si>
  <si>
    <t>Leur mécanisme : la vol d'un facteur ne prédit pas son rendement mais prédit sa vol, d'où un mauvais arbitrage quand la vol monte.</t>
  </si>
  <si>
    <t>volmanaged_20</t>
  </si>
  <si>
    <t>moyenne(RET_1..RET_20) / vol_20².</t>
  </si>
  <si>
    <t>Très corrélée à tsmom_20 : tester les deux ensemble n'apporte rien.</t>
  </si>
  <si>
    <t>4</t>
  </si>
  <si>
    <t>beta_20</t>
  </si>
  <si>
    <t>Blitz, Huij &amp; Martens (JBF 2011)</t>
  </si>
  <si>
    <t>Régression par ligne sur les 20 lags : RET_k = a + b·mkt_k + e_k. beta_20 = b.</t>
  </si>
  <si>
    <t>20 points seulement : bêta bruité. Traiter comme un descripteur, pas comme une estimation précise.</t>
  </si>
  <si>
    <t>alpha_20</t>
  </si>
  <si>
    <t>Intercept a de la même régression.</t>
  </si>
  <si>
    <t>C'est le momentum débarrassé du pari implicite sur le facteur commun.</t>
  </si>
  <si>
    <t>resid_mom_5</t>
  </si>
  <si>
    <t>Moyenne des résidus e_1..e_5 de la même régression.</t>
  </si>
  <si>
    <t>Le momentum résiduel est nettement plus stable que le brut.</t>
  </si>
  <si>
    <t>resid_mom_20</t>
  </si>
  <si>
    <t>Moyenne de tous les résidus e_1..e_20.</t>
  </si>
  <si>
    <t>5</t>
  </si>
  <si>
    <t>idio_vol_20</t>
  </si>
  <si>
    <t>Ang, Hodrick, Xing &amp; Zhang (JF 2006)</t>
  </si>
  <si>
    <t>Écart-type des résidus e_k de la régression du point 4.</t>
  </si>
  <si>
    <t>Négatif</t>
  </si>
  <si>
    <t>Objet distinct de vol_20, qui mélange systématique et spécifique.</t>
  </si>
  <si>
    <t>idio_share</t>
  </si>
  <si>
    <t>idio_vol_20² / vol_20², dans [0,1].</t>
  </si>
  <si>
    <t>Part de la variance qui est propre à l'allocation.</t>
  </si>
  <si>
    <t>6</t>
  </si>
  <si>
    <t>vr_2 / vr_5</t>
  </si>
  <si>
    <t>Lo &amp; MacKinlay (RFS 1988)</t>
  </si>
  <si>
    <t>VR(k) = Var(sommes glissantes de k jours) / (k · Var(1 jour)), calculé sur les 20 lags de la ligne.</t>
  </si>
  <si>
    <t>Voir réserve</t>
  </si>
  <si>
    <t>LA feature à tester en priorité : &gt; 1 = l'allocation trend, &lt; 1 = elle revient à la moyenne. Mesure ce que 'dépend du GROUP' ne faisait que supposer. À utiliser en interaction avec le momentum.</t>
  </si>
  <si>
    <t>ac1_20</t>
  </si>
  <si>
    <t>Autocorrélation de lag 1 sur les 20 lags de la ligne.</t>
  </si>
  <si>
    <t>Très corrélée à vr_2 par construction. En choisir une.</t>
  </si>
  <si>
    <t>7</t>
  </si>
  <si>
    <t>disp_k / disp_mean_20</t>
  </si>
  <si>
    <t>Angelidis, Sakkas &amp; Tessaromatis (JBF 2015)</t>
  </si>
  <si>
    <t>Écart-type cross-sectionnel de RET_k par date : donne aussi une trajectoire de dispersion sur 20 jours. disp_mean_20 = sa moyenne.</t>
  </si>
  <si>
    <t>Une dispersion élevée prédit une prime de momentum plus faible et des rendements de marché plus bas.</t>
  </si>
  <si>
    <t>disp_now_vs_avg</t>
  </si>
  <si>
    <t>Adaptée</t>
  </si>
  <si>
    <t>disp_1 / disp_mean_20 : la dispersion du jour rapportée à son propre régime récent.</t>
  </si>
  <si>
    <t>Le ratio est mon ajout ; le niveau de dispersion est l'objet établi.</t>
  </si>
  <si>
    <t>mom_x_disp</t>
  </si>
  <si>
    <t>moyenne(RET_1..RET_20) × disp_1.</t>
  </si>
  <si>
    <t>NÉGATIF</t>
  </si>
  <si>
    <t>Signe issu de la littérature, pas de mon intuition : c'est ce qui rend la pré-enregistration crédible ici.</t>
  </si>
  <si>
    <t>8</t>
  </si>
  <si>
    <t>abs_dev_1</t>
  </si>
  <si>
    <t>Chang, Cheng &amp; Khorana (JBF 2000)</t>
  </si>
  <si>
    <t>|RET_1 - mkt_1| : déviation absolue de l'allocation au marché.</t>
  </si>
  <si>
    <t>Quantité par ligne, contrairement au CSAD qui est par date.</t>
  </si>
  <si>
    <t>csad_1</t>
  </si>
  <si>
    <t>Moyenne par date de abs_dev_1.</t>
  </si>
  <si>
    <t>Version établie de ce que day_factor_share cherchait maladroitement.</t>
  </si>
  <si>
    <t>csad_vs_absmkt</t>
  </si>
  <si>
    <t>Chang, Cheng &amp; Khorana (JBF 2000) ; Christie &amp; Huang (FAJ 1995)</t>
  </si>
  <si>
    <t>csad_1 / |mkt_1|, et terme quadratique mkt_1².</t>
  </si>
  <si>
    <t>La relation non linéaire entre dispersion et |rendement de marché| est le test de herding lui-même.</t>
  </si>
  <si>
    <t>9</t>
  </si>
  <si>
    <t>rev_x_sv</t>
  </si>
  <si>
    <t>Medhat &amp; Schmeling (RFS 2022) ; Jegadeesh (JF 1990) ; Lehmann (QJE 1990)</t>
  </si>
  <si>
    <t>RET_1 × rang cross-sectionnel de SIGNED_VOLUME_1.</t>
  </si>
  <si>
    <t>Reversal quand l'activité est faible, momentum quand elle est forte. Le transfert d'un turnover d'action vers un volume signé de portefeuille n'est PAS établi : c'est une analogie.</t>
  </si>
  <si>
    <t>rev_x_turnover</t>
  </si>
  <si>
    <t>Medhat &amp; Schmeling (RFS 2022)</t>
  </si>
  <si>
    <t>RET_1 × rang de MEDIAN_DAILY_TURNOVER.</t>
  </si>
  <si>
    <t>ATTENTION : signe inverse de ce que j'avais annoncé au départ. Et leur turnover est un volume sur flottant, le tien une vitesse de rebalancement — pas le même objet économique.</t>
  </si>
  <si>
    <t>10</t>
  </si>
  <si>
    <t>mom_x_vol</t>
  </si>
  <si>
    <t>Daniel &amp; Moskowitz (JFE 2016) ; Barroso &amp; Santa-Clara (JFE 2015)</t>
  </si>
  <si>
    <t>moyenne(RET_1..RET_20) × vol_20.</t>
  </si>
  <si>
    <t>Le momentum s'effondre en régime de forte volatilité. Cohérent avec mom_x_disp, ce qui est plutôt rassurant.</t>
  </si>
  <si>
    <t>mom_x_mktvol</t>
  </si>
  <si>
    <t>Daniel &amp; Moskowitz (JFE 2016)</t>
  </si>
  <si>
    <t>moyenne(RET_1..RET_20) × mkt_vol_20.</t>
  </si>
  <si>
    <t>Version marché plutôt qu'allocation.</t>
  </si>
  <si>
    <t>11</t>
  </si>
  <si>
    <t>beta_20 (usage BAB)</t>
  </si>
  <si>
    <t>Frazzini &amp; Pedersen (JFE 2014)</t>
  </si>
  <si>
    <t>Réutilise beta_20 du point 4 comme signal directionnel.</t>
  </si>
  <si>
    <t>Réserve sérieuse : BAB est un phénomène de rendement espéré long terme, sans raison particulière d'agir sur le signe du lendemain. Listé pour complétude, pas par conviction.</t>
  </si>
  <si>
    <t>Références</t>
  </si>
  <si>
    <t>Auteurs</t>
  </si>
  <si>
    <t>Année</t>
  </si>
  <si>
    <t>Publication</t>
  </si>
  <si>
    <t>Titre</t>
  </si>
  <si>
    <t>Ce qu'il établit</t>
  </si>
  <si>
    <t>Ehsani &amp; Linnainmaa</t>
  </si>
  <si>
    <t>2022</t>
  </si>
  <si>
    <t>Journal of Finance 77(3), 1877–1919</t>
  </si>
  <si>
    <t>Factor Momentum and the Momentum Factor</t>
  </si>
  <si>
    <t>La plupart des facteurs sont positivement autocorrélés : 6 pb après une année de pertes contre 51 pb après une année positive. Le momentum de facteur se concentre dans les composantes principales à valeur propre élevée.</t>
  </si>
  <si>
    <t>Moskowitz, Ooi &amp; Pedersen</t>
  </si>
  <si>
    <t>2012</t>
  </si>
  <si>
    <t>Journal of Financial Economics 104</t>
  </si>
  <si>
    <t>Time Series Momentum</t>
  </si>
  <si>
    <t>Construction du momentum temporel normalisé par la volatilité réalisée.</t>
  </si>
  <si>
    <t>Moreira &amp; Muir</t>
  </si>
  <si>
    <t>2017</t>
  </si>
  <si>
    <t>Journal of Finance / JFE</t>
  </si>
  <si>
    <t>Volatility-Managed Portfolios</t>
  </si>
  <si>
    <t>Mise à l'échelle de l'exposition par l'inverse de la variance réalisée passée. Fonctionne parce que la vol prédit la vol mais pas le rendement.</t>
  </si>
  <si>
    <t>Blitz, Huij &amp; Martens</t>
  </si>
  <si>
    <t>2011</t>
  </si>
  <si>
    <t>Journal of Empirical Finance 18</t>
  </si>
  <si>
    <t>Residual Momentum</t>
  </si>
  <si>
    <t>Momentum calculé sur les résidus d'une régression factorielle : plus stable que le momentum brut, car sans pari implicite sur les facteurs.</t>
  </si>
  <si>
    <t>Ang, Hodrick, Xing &amp; Zhang</t>
  </si>
  <si>
    <t>2006</t>
  </si>
  <si>
    <t>Journal of Finance 61(1)</t>
  </si>
  <si>
    <t>The Cross-Section of Volatility and Expected Returns</t>
  </si>
  <si>
    <t>Une volatilité idiosyncratique élevée est associée à des rendements futurs plus faibles.</t>
  </si>
  <si>
    <t>Lo &amp; MacKinlay</t>
  </si>
  <si>
    <t>1988</t>
  </si>
  <si>
    <t>Review of Financial Studies 1(1)</t>
  </si>
  <si>
    <t>Stock Market Prices Do Not Follow Random Walks</t>
  </si>
  <si>
    <t>Test du ratio de variance. VR &gt; 1 : persistance ; VR &lt; 1 : retour à la moyenne.</t>
  </si>
  <si>
    <t>1990</t>
  </si>
  <si>
    <t>Review of Financial Studies 3(2)</t>
  </si>
  <si>
    <t>When Are Contrarian Profits Due to Stock Market Overreaction?</t>
  </si>
  <si>
    <t>Décomposition des profits contrariants en autocovariance propre et covariances croisées (effets de type lead-lag).</t>
  </si>
  <si>
    <t>Angelidis, Sakkas &amp; Tessaromatis</t>
  </si>
  <si>
    <t>2015</t>
  </si>
  <si>
    <t>Journal of Banking &amp; Finance 59</t>
  </si>
  <si>
    <t>Stock market dispersion, the business cycle and expected factor returns</t>
  </si>
  <si>
    <t>La dispersion cross-sectionnelle sert de variable d'état : une dispersion élevée prédit une prime de momentum plus faible et des rendements de marché plus bas (G7).</t>
  </si>
  <si>
    <t>Chang, Cheng &amp; Khorana</t>
  </si>
  <si>
    <t>2000</t>
  </si>
  <si>
    <t>Journal of Banking &amp; Finance 24</t>
  </si>
  <si>
    <t>An examination of herd behavior in equity markets</t>
  </si>
  <si>
    <t>CSAD : déviation absolue cross-sectionnelle, régressée sur le rendement de marché et son carré.</t>
  </si>
  <si>
    <t>Christie &amp; Huang</t>
  </si>
  <si>
    <t>1995</t>
  </si>
  <si>
    <t>Financial Analysts Journal 51(4)</t>
  </si>
  <si>
    <t>Following the Pied Piper</t>
  </si>
  <si>
    <t>Antécédent du CSAD, fondé sur la dispersion cross-sectionnelle.</t>
  </si>
  <si>
    <t>Medhat &amp; Schmeling</t>
  </si>
  <si>
    <t>Review of Financial Studies 35(3), 1480–1526</t>
  </si>
  <si>
    <t>Short-term Momentum</t>
  </si>
  <si>
    <t>Reversal court terme parmi les faibles turnovers, momentum parmi les forts. Le signe s'inverse dans le dernier décile de turnover.</t>
  </si>
  <si>
    <t>Jegadeesh</t>
  </si>
  <si>
    <t>Journal of Finance 45(3)</t>
  </si>
  <si>
    <t>Evidence of Predictable Behavior of Security Returns</t>
  </si>
  <si>
    <t>Reversal à un mois.</t>
  </si>
  <si>
    <t>Lehmann</t>
  </si>
  <si>
    <t>Quarterly Journal of Economics 105(1)</t>
  </si>
  <si>
    <t>Fads, Martingales, and Market Efficiency</t>
  </si>
  <si>
    <t>Reversal de court terme.</t>
  </si>
  <si>
    <t>Daniel &amp; Moskowitz</t>
  </si>
  <si>
    <t>2016</t>
  </si>
  <si>
    <t>Journal of Financial Economics 122(2)</t>
  </si>
  <si>
    <t>Momentum Crashes</t>
  </si>
  <si>
    <t>Le momentum s'effondre dans les états de marché baissiers et volatils.</t>
  </si>
  <si>
    <t>Barroso &amp; Santa-Clara</t>
  </si>
  <si>
    <t>Journal of Financial Economics 116(1)</t>
  </si>
  <si>
    <t>Momentum has its moments</t>
  </si>
  <si>
    <t>Gestion du risque de momentum par mise à l'échelle sur la vol réalisée.</t>
  </si>
  <si>
    <t>Frazzini &amp; Pedersen</t>
  </si>
  <si>
    <t>2014</t>
  </si>
  <si>
    <t>Journal of Financial Economics 111(1)</t>
  </si>
  <si>
    <t>Betting Against Beta</t>
  </si>
  <si>
    <t>Les actifs à faible bêta offrent de meilleurs rendements ajustés du risque.</t>
  </si>
  <si>
    <t>Kritzman, Li, Page &amp; Rigobón</t>
  </si>
  <si>
    <t>Journal of Portfolio Management</t>
  </si>
  <si>
    <t>Principal Components as a Measure of Systemic Risk</t>
  </si>
  <si>
    <t>Absorption ratio : part de variance captée par les premiers vecteurs propres. C'est la vraie mesure de part factorielle.</t>
  </si>
  <si>
    <t>Features écartées, et pourquoi</t>
  </si>
  <si>
    <t>Toutes viennent du premier catalogue. Le seul filtre qui les a arrêtées est ta question sur day_factor_share — elles avaient passé le catalogue, la colonne « interprétation » et la légende.</t>
  </si>
  <si>
    <t>Motif</t>
  </si>
  <si>
    <t>Diagnostic</t>
  </si>
  <si>
    <t>Remplacement</t>
  </si>
  <si>
    <t>day_factor_share</t>
  </si>
  <si>
    <t>Mon invention</t>
  </si>
  <si>
    <t>Se réduit algébriquement à 1/(1+(σ/m)²), soit une transformation monotone du seul rapport |m|/σ. Redondante avec day_mean et day_disp, et perd le signe de m. Le nom promettait une part de variance factorielle qu'elle ne calcule pas.</t>
  </si>
  <si>
    <t>Remplacée par csad_1 et csad_vs_absmkt (point 8), et par disp_k avec un signe déclaré par la littérature (point 7). Pour une vraie part factorielle : absorption ratio de Kritzman et al.</t>
  </si>
  <si>
    <t>sv_ret_corr</t>
  </si>
  <si>
    <t>Présentée comme la « feature signature ». Il existe une littérature sur la relation rendement-volume, mais pas cette construction. Aucune référence ne la soutient.</t>
  </si>
  <si>
    <t>Aucun remplacement direct. La garder en catégorie « personnelle » si tu veux, jamais en « établie ».</t>
  </si>
  <si>
    <t>invto_x_r1 / r5 / r20</t>
  </si>
  <si>
    <t>Signe inversé</t>
  </si>
  <si>
    <t>J'avais posé : faible turnover → positions persistantes → plus d'autocorrélation, donc signe positif. Medhat &amp; Schmeling trouvent le contraire — reversal aux faibles turnovers.</t>
  </si>
  <si>
    <t>Remplacée par rev_x_turnover et rev_x_sv (point 9), avec le signe dans le bon sens et la réserve sur le transfert d'objet économique.</t>
  </si>
  <si>
    <t>sv_slope, sv_dev, sv_1_xs_rank</t>
  </si>
  <si>
    <t>Non adossées</t>
  </si>
  <si>
    <t>Construites sur mon raisonnement crowding. Plausible, mais pas de référence citable, et le contrôle NaN par âge de lag suggère qu'elles peuvent encoder l'ancienneté de l'allocation.</t>
  </si>
  <si>
    <t>À conserver éventuellement, en catégorie « personnelle », et après l'audit des NaN par lag.</t>
  </si>
  <si>
    <t>Le calcul</t>
  </si>
  <si>
    <t>Notons NN N le nombre de lignes de test, DD D le nombre de dates, et nn n le nombre d'allocations par date. Ici N=31 870N = 31\,870 N=31870 et n≈380n \approx 380 n≈380, donc D≈84D \approx 84 D≈84 dates seulement.</t>
  </si>
  <si>
    <t>Si les lignes étaient indépendantes, l'écart-type d'une accuracy voisine de 0,5 vaudrait :</t>
  </si>
  <si>
    <t>SE0=0,5N=0,28 point\mathrm{SE}_0 = \frac{0{,}5}{\sqrt{N}} = 0{,}28 \text{ point}SE0​=N​0,5​=0,28 point</t>
  </si>
  <si>
    <r>
      <t>Mais elles ne sont pas indépendantes. Les allocations d'une même date subissent le même choc de marché, donc les erreurs du modèle se ressemblent à l'intérieur d'une date. On corrige par ce qu'on appelle l'</t>
    </r>
    <r>
      <rPr>
        <b/>
        <sz val="11"/>
        <color theme="1"/>
        <rFont val="Calibri"/>
        <family val="2"/>
        <charset val="1"/>
      </rPr>
      <t>effet de plan</t>
    </r>
    <r>
      <rPr>
        <sz val="11"/>
        <color theme="1"/>
        <rFont val="Calibri"/>
        <family val="2"/>
        <charset val="1"/>
      </rPr>
      <t>, emprunté à la théorie des sondages :</t>
    </r>
  </si>
  <si>
    <t>DEFF=1+(n−1) ρ,SE=SE0×DEFF\mathrm{DEFF} = 1 + (n-1)\,\rho, \qquad \mathrm{SE} = \mathrm{SE}_0 \times \sqrt{\mathrm{DEFF}}DEFF=1+(n−1)ρ,SE=SE0​×DEFF​</t>
  </si>
  <si>
    <t>où ρ\rho ρ est la corrélation intra-date des erreurs.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</si>
</sst>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13.5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171" zoomScaleNormal="100" workbookViewId="0">
      <pane xSplit="1" ySplit="5" topLeftCell="B8" activePane="bottomRight" state="frozen"/>
      <selection pane="topRight" activeCell="B1" sqref="B1"/>
      <selection pane="bottomLeft" activeCell="A6" sqref="A6"/>
      <selection pane="bottomRight" activeCell="B16" sqref="B16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12" customWidth="1"/>
    <col min="4" max="4" width="34" customWidth="1"/>
    <col min="5" max="5" width="58" customWidth="1"/>
    <col min="6" max="6" width="16" customWidth="1"/>
    <col min="7" max="7" width="56" customWidth="1"/>
  </cols>
  <sheetData>
    <row r="1" spans="1:7" ht="17" x14ac:dyDescent="0.2">
      <c r="A1" s="1" t="s">
        <v>0</v>
      </c>
    </row>
    <row r="2" spans="1:7" ht="30" customHeight="1" x14ac:dyDescent="0.2">
      <c r="A2" s="16" t="s">
        <v>1</v>
      </c>
      <c r="B2" s="16"/>
      <c r="C2" s="16"/>
      <c r="D2" s="16"/>
      <c r="E2" s="16"/>
      <c r="F2" s="16"/>
      <c r="G2" s="16"/>
    </row>
    <row r="3" spans="1:7" x14ac:dyDescent="0.2">
      <c r="A3" s="2" t="s">
        <v>2</v>
      </c>
      <c r="B3" s="3">
        <f>COUNTIF($C$6:$C$31,"Établie")</f>
        <v>20</v>
      </c>
      <c r="C3" s="2" t="s">
        <v>3</v>
      </c>
      <c r="D3" s="3">
        <f>COUNTIF($C$6:$C$31,"Adaptée")</f>
        <v>6</v>
      </c>
      <c r="E3" s="2" t="s">
        <v>4</v>
      </c>
      <c r="F3" s="3">
        <f>COUNTA($B$6:$B$31)</f>
        <v>26</v>
      </c>
    </row>
    <row r="5" spans="1:7" ht="25.5" customHeight="1" x14ac:dyDescent="0.2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</row>
    <row r="6" spans="1:7" x14ac:dyDescent="0.2">
      <c r="A6" s="5" t="s">
        <v>89</v>
      </c>
      <c r="B6" s="6" t="s">
        <v>90</v>
      </c>
      <c r="C6" s="7" t="s">
        <v>14</v>
      </c>
      <c r="D6" s="5" t="s">
        <v>91</v>
      </c>
      <c r="E6" s="8" t="s">
        <v>92</v>
      </c>
      <c r="F6" s="5" t="s">
        <v>17</v>
      </c>
      <c r="G6" s="8" t="s">
        <v>93</v>
      </c>
    </row>
    <row r="7" spans="1:7" x14ac:dyDescent="0.2">
      <c r="A7" s="5" t="s">
        <v>67</v>
      </c>
      <c r="B7" s="6" t="s">
        <v>73</v>
      </c>
      <c r="C7" s="7" t="s">
        <v>14</v>
      </c>
      <c r="D7" s="5" t="s">
        <v>69</v>
      </c>
      <c r="E7" s="8" t="s">
        <v>74</v>
      </c>
      <c r="F7" s="5" t="s">
        <v>71</v>
      </c>
      <c r="G7" s="8" t="s">
        <v>75</v>
      </c>
    </row>
    <row r="8" spans="1:7" x14ac:dyDescent="0.2">
      <c r="A8" s="5" t="s">
        <v>45</v>
      </c>
      <c r="B8" s="6" t="s">
        <v>50</v>
      </c>
      <c r="C8" s="7" t="s">
        <v>14</v>
      </c>
      <c r="D8" s="5" t="s">
        <v>47</v>
      </c>
      <c r="E8" s="8" t="s">
        <v>51</v>
      </c>
      <c r="F8" s="5" t="s">
        <v>27</v>
      </c>
      <c r="G8" s="8" t="s">
        <v>52</v>
      </c>
    </row>
    <row r="9" spans="1:7" ht="26" x14ac:dyDescent="0.2">
      <c r="A9" s="5" t="s">
        <v>45</v>
      </c>
      <c r="B9" s="6" t="s">
        <v>46</v>
      </c>
      <c r="C9" s="7" t="s">
        <v>14</v>
      </c>
      <c r="D9" s="5" t="s">
        <v>47</v>
      </c>
      <c r="E9" s="8" t="s">
        <v>48</v>
      </c>
      <c r="F9" s="5" t="s">
        <v>17</v>
      </c>
      <c r="G9" s="8" t="s">
        <v>49</v>
      </c>
    </row>
    <row r="10" spans="1:7" ht="39" x14ac:dyDescent="0.2">
      <c r="A10" s="5" t="s">
        <v>119</v>
      </c>
      <c r="B10" s="6" t="s">
        <v>120</v>
      </c>
      <c r="C10" s="9" t="s">
        <v>82</v>
      </c>
      <c r="D10" s="5" t="s">
        <v>121</v>
      </c>
      <c r="E10" s="8" t="s">
        <v>122</v>
      </c>
      <c r="F10" s="5" t="s">
        <v>62</v>
      </c>
      <c r="G10" s="8" t="s">
        <v>123</v>
      </c>
    </row>
    <row r="11" spans="1:7" x14ac:dyDescent="0.2">
      <c r="A11" s="5" t="s">
        <v>89</v>
      </c>
      <c r="B11" s="6" t="s">
        <v>94</v>
      </c>
      <c r="C11" s="7" t="s">
        <v>14</v>
      </c>
      <c r="D11" s="5" t="s">
        <v>91</v>
      </c>
      <c r="E11" s="8" t="s">
        <v>95</v>
      </c>
      <c r="F11" s="5" t="s">
        <v>17</v>
      </c>
      <c r="G11" s="8" t="s">
        <v>96</v>
      </c>
    </row>
    <row r="12" spans="1:7" ht="28" x14ac:dyDescent="0.2">
      <c r="A12" s="5" t="s">
        <v>89</v>
      </c>
      <c r="B12" s="6" t="s">
        <v>97</v>
      </c>
      <c r="C12" s="7" t="s">
        <v>14</v>
      </c>
      <c r="D12" s="5" t="s">
        <v>98</v>
      </c>
      <c r="E12" s="8" t="s">
        <v>99</v>
      </c>
      <c r="F12" s="5" t="s">
        <v>17</v>
      </c>
      <c r="G12" s="8" t="s">
        <v>100</v>
      </c>
    </row>
    <row r="13" spans="1:7" ht="28" x14ac:dyDescent="0.2">
      <c r="A13" s="5" t="s">
        <v>76</v>
      </c>
      <c r="B13" s="6" t="s">
        <v>77</v>
      </c>
      <c r="C13" s="7" t="s">
        <v>14</v>
      </c>
      <c r="D13" s="5" t="s">
        <v>78</v>
      </c>
      <c r="E13" s="8" t="s">
        <v>79</v>
      </c>
      <c r="F13" s="5" t="s">
        <v>62</v>
      </c>
      <c r="G13" s="8" t="s">
        <v>80</v>
      </c>
    </row>
    <row r="14" spans="1:7" ht="28" x14ac:dyDescent="0.2">
      <c r="A14" s="5" t="s">
        <v>76</v>
      </c>
      <c r="B14" s="6" t="s">
        <v>81</v>
      </c>
      <c r="C14" s="9" t="s">
        <v>82</v>
      </c>
      <c r="D14" s="5" t="s">
        <v>78</v>
      </c>
      <c r="E14" s="8" t="s">
        <v>83</v>
      </c>
      <c r="F14" s="5" t="s">
        <v>62</v>
      </c>
      <c r="G14" s="8" t="s">
        <v>84</v>
      </c>
    </row>
    <row r="15" spans="1:7" ht="26" x14ac:dyDescent="0.2">
      <c r="A15" s="5" t="s">
        <v>23</v>
      </c>
      <c r="B15" s="6" t="s">
        <v>24</v>
      </c>
      <c r="C15" s="7" t="s">
        <v>14</v>
      </c>
      <c r="D15" s="5" t="s">
        <v>25</v>
      </c>
      <c r="E15" s="8" t="s">
        <v>26</v>
      </c>
      <c r="F15" s="5" t="s">
        <v>27</v>
      </c>
      <c r="G15" s="8" t="s">
        <v>28</v>
      </c>
    </row>
    <row r="16" spans="1:7" x14ac:dyDescent="0.2">
      <c r="A16" s="5" t="s">
        <v>23</v>
      </c>
      <c r="B16" s="6" t="s">
        <v>29</v>
      </c>
      <c r="C16" s="7" t="s">
        <v>14</v>
      </c>
      <c r="D16" s="5" t="s">
        <v>25</v>
      </c>
      <c r="E16" s="8" t="s">
        <v>30</v>
      </c>
      <c r="F16" s="5" t="s">
        <v>27</v>
      </c>
      <c r="G16" s="8" t="s">
        <v>31</v>
      </c>
    </row>
    <row r="17" spans="1:7" x14ac:dyDescent="0.2">
      <c r="A17" s="5" t="s">
        <v>58</v>
      </c>
      <c r="B17" s="6" t="s">
        <v>64</v>
      </c>
      <c r="C17" s="7" t="s">
        <v>14</v>
      </c>
      <c r="D17" s="5" t="s">
        <v>60</v>
      </c>
      <c r="E17" s="8" t="s">
        <v>65</v>
      </c>
      <c r="F17" s="5" t="s">
        <v>62</v>
      </c>
      <c r="G17" s="8" t="s">
        <v>66</v>
      </c>
    </row>
    <row r="18" spans="1:7" x14ac:dyDescent="0.2">
      <c r="A18" s="5" t="s">
        <v>58</v>
      </c>
      <c r="B18" s="6" t="s">
        <v>59</v>
      </c>
      <c r="C18" s="7" t="s">
        <v>14</v>
      </c>
      <c r="D18" s="5" t="s">
        <v>60</v>
      </c>
      <c r="E18" s="8" t="s">
        <v>61</v>
      </c>
      <c r="F18" s="5" t="s">
        <v>62</v>
      </c>
      <c r="G18" s="8" t="s">
        <v>63</v>
      </c>
    </row>
    <row r="19" spans="1:7" ht="26" x14ac:dyDescent="0.2">
      <c r="A19" s="5" t="s">
        <v>37</v>
      </c>
      <c r="B19" s="6" t="s">
        <v>38</v>
      </c>
      <c r="C19" s="7" t="s">
        <v>14</v>
      </c>
      <c r="D19" s="5" t="s">
        <v>39</v>
      </c>
      <c r="E19" s="8" t="s">
        <v>40</v>
      </c>
      <c r="F19" s="5" t="s">
        <v>27</v>
      </c>
      <c r="G19" s="8" t="s">
        <v>41</v>
      </c>
    </row>
    <row r="20" spans="1:7" ht="39" x14ac:dyDescent="0.2">
      <c r="A20" s="5" t="s">
        <v>12</v>
      </c>
      <c r="B20" s="6" t="s">
        <v>13</v>
      </c>
      <c r="C20" s="7" t="s">
        <v>14</v>
      </c>
      <c r="D20" s="5" t="s">
        <v>15</v>
      </c>
      <c r="E20" s="8" t="s">
        <v>16</v>
      </c>
      <c r="F20" s="5" t="s">
        <v>17</v>
      </c>
      <c r="G20" s="8" t="s">
        <v>18</v>
      </c>
    </row>
    <row r="21" spans="1:7" x14ac:dyDescent="0.2">
      <c r="A21" s="5" t="s">
        <v>12</v>
      </c>
      <c r="B21" s="6" t="s">
        <v>19</v>
      </c>
      <c r="C21" s="7" t="s">
        <v>14</v>
      </c>
      <c r="D21" s="5" t="s">
        <v>20</v>
      </c>
      <c r="E21" s="8" t="s">
        <v>21</v>
      </c>
      <c r="F21" s="5" t="s">
        <v>17</v>
      </c>
      <c r="G21" s="8" t="s">
        <v>22</v>
      </c>
    </row>
    <row r="22" spans="1:7" ht="28" x14ac:dyDescent="0.2">
      <c r="A22" s="5" t="s">
        <v>76</v>
      </c>
      <c r="B22" s="6" t="s">
        <v>85</v>
      </c>
      <c r="C22" s="7" t="s">
        <v>14</v>
      </c>
      <c r="D22" s="5" t="s">
        <v>78</v>
      </c>
      <c r="E22" s="8" t="s">
        <v>86</v>
      </c>
      <c r="F22" s="5" t="s">
        <v>87</v>
      </c>
      <c r="G22" s="8" t="s">
        <v>88</v>
      </c>
    </row>
    <row r="23" spans="1:7" x14ac:dyDescent="0.2">
      <c r="A23" s="5" t="s">
        <v>110</v>
      </c>
      <c r="B23" s="6" t="s">
        <v>115</v>
      </c>
      <c r="C23" s="9" t="s">
        <v>82</v>
      </c>
      <c r="D23" s="5" t="s">
        <v>116</v>
      </c>
      <c r="E23" s="8" t="s">
        <v>117</v>
      </c>
      <c r="F23" s="5" t="s">
        <v>62</v>
      </c>
      <c r="G23" s="8" t="s">
        <v>118</v>
      </c>
    </row>
    <row r="24" spans="1:7" ht="28" x14ac:dyDescent="0.2">
      <c r="A24" s="5" t="s">
        <v>110</v>
      </c>
      <c r="B24" s="6" t="s">
        <v>111</v>
      </c>
      <c r="C24" s="9" t="s">
        <v>82</v>
      </c>
      <c r="D24" s="5" t="s">
        <v>112</v>
      </c>
      <c r="E24" s="8" t="s">
        <v>113</v>
      </c>
      <c r="F24" s="5" t="s">
        <v>62</v>
      </c>
      <c r="G24" s="8" t="s">
        <v>114</v>
      </c>
    </row>
    <row r="25" spans="1:7" x14ac:dyDescent="0.2">
      <c r="A25" s="5" t="s">
        <v>45</v>
      </c>
      <c r="B25" s="6" t="s">
        <v>56</v>
      </c>
      <c r="C25" s="7" t="s">
        <v>14</v>
      </c>
      <c r="D25" s="5" t="s">
        <v>47</v>
      </c>
      <c r="E25" s="8" t="s">
        <v>57</v>
      </c>
      <c r="F25" s="5" t="s">
        <v>27</v>
      </c>
      <c r="G25" s="8" t="s">
        <v>17</v>
      </c>
    </row>
    <row r="26" spans="1:7" x14ac:dyDescent="0.2">
      <c r="A26" s="5" t="s">
        <v>45</v>
      </c>
      <c r="B26" s="6" t="s">
        <v>53</v>
      </c>
      <c r="C26" s="7" t="s">
        <v>14</v>
      </c>
      <c r="D26" s="5" t="s">
        <v>47</v>
      </c>
      <c r="E26" s="8" t="s">
        <v>54</v>
      </c>
      <c r="F26" s="5" t="s">
        <v>27</v>
      </c>
      <c r="G26" s="8" t="s">
        <v>55</v>
      </c>
    </row>
    <row r="27" spans="1:7" ht="42" x14ac:dyDescent="0.2">
      <c r="A27" s="5" t="s">
        <v>101</v>
      </c>
      <c r="B27" s="6" t="s">
        <v>102</v>
      </c>
      <c r="C27" s="9" t="s">
        <v>82</v>
      </c>
      <c r="D27" s="5" t="s">
        <v>103</v>
      </c>
      <c r="E27" s="8" t="s">
        <v>104</v>
      </c>
      <c r="F27" s="5" t="s">
        <v>27</v>
      </c>
      <c r="G27" s="8" t="s">
        <v>105</v>
      </c>
    </row>
    <row r="28" spans="1:7" ht="39" x14ac:dyDescent="0.2">
      <c r="A28" s="5" t="s">
        <v>101</v>
      </c>
      <c r="B28" s="6" t="s">
        <v>106</v>
      </c>
      <c r="C28" s="9" t="s">
        <v>82</v>
      </c>
      <c r="D28" s="5" t="s">
        <v>107</v>
      </c>
      <c r="E28" s="8" t="s">
        <v>108</v>
      </c>
      <c r="F28" s="5" t="s">
        <v>27</v>
      </c>
      <c r="G28" s="8" t="s">
        <v>109</v>
      </c>
    </row>
    <row r="29" spans="1:7" ht="28" x14ac:dyDescent="0.2">
      <c r="A29" s="5" t="s">
        <v>32</v>
      </c>
      <c r="B29" s="6" t="s">
        <v>33</v>
      </c>
      <c r="C29" s="7" t="s">
        <v>14</v>
      </c>
      <c r="D29" s="5" t="s">
        <v>34</v>
      </c>
      <c r="E29" s="8" t="s">
        <v>35</v>
      </c>
      <c r="F29" s="5" t="s">
        <v>27</v>
      </c>
      <c r="G29" s="8" t="s">
        <v>36</v>
      </c>
    </row>
    <row r="30" spans="1:7" x14ac:dyDescent="0.2">
      <c r="A30" s="11" t="s">
        <v>37</v>
      </c>
      <c r="B30" s="12" t="s">
        <v>42</v>
      </c>
      <c r="C30" s="13" t="s">
        <v>14</v>
      </c>
      <c r="D30" s="11" t="s">
        <v>39</v>
      </c>
      <c r="E30" s="14" t="s">
        <v>43</v>
      </c>
      <c r="F30" s="11" t="s">
        <v>27</v>
      </c>
      <c r="G30" s="14" t="s">
        <v>44</v>
      </c>
    </row>
    <row r="31" spans="1:7" ht="39" x14ac:dyDescent="0.2">
      <c r="A31" s="5" t="s">
        <v>67</v>
      </c>
      <c r="B31" s="6" t="s">
        <v>68</v>
      </c>
      <c r="C31" s="7" t="s">
        <v>14</v>
      </c>
      <c r="D31" s="5" t="s">
        <v>69</v>
      </c>
      <c r="E31" s="8" t="s">
        <v>70</v>
      </c>
      <c r="F31" s="5" t="s">
        <v>71</v>
      </c>
      <c r="G31" s="8" t="s">
        <v>72</v>
      </c>
    </row>
  </sheetData>
  <autoFilter ref="A5:G31" xr:uid="{00000000-0009-0000-0000-000000000000}">
    <sortState xmlns:xlrd2="http://schemas.microsoft.com/office/spreadsheetml/2017/richdata2" ref="A6:G31">
      <sortCondition ref="B5:B31"/>
    </sortState>
  </autoFilter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EA5D-BE7B-1248-950E-DD3D7EFED6D0}">
  <dimension ref="B2:D28"/>
  <sheetViews>
    <sheetView workbookViewId="0">
      <selection activeCell="F13" sqref="F13"/>
    </sheetView>
  </sheetViews>
  <sheetFormatPr baseColWidth="10" defaultRowHeight="15" x14ac:dyDescent="0.2"/>
  <sheetData>
    <row r="2" spans="2:4" x14ac:dyDescent="0.2">
      <c r="B2">
        <f>SQRT(31000)</f>
        <v>176.0681686165901</v>
      </c>
    </row>
    <row r="3" spans="2:4" x14ac:dyDescent="0.2">
      <c r="B3">
        <v>0.5</v>
      </c>
    </row>
    <row r="4" spans="2:4" x14ac:dyDescent="0.2">
      <c r="B4">
        <f>B3/B2</f>
        <v>2.8398091712353241E-3</v>
      </c>
    </row>
    <row r="16" spans="2:4" ht="19" x14ac:dyDescent="0.25">
      <c r="D16" s="15" t="s">
        <v>229</v>
      </c>
    </row>
    <row r="18" spans="4:4" x14ac:dyDescent="0.2">
      <c r="D18" t="s">
        <v>230</v>
      </c>
    </row>
    <row r="20" spans="4:4" x14ac:dyDescent="0.2">
      <c r="D20" t="s">
        <v>231</v>
      </c>
    </row>
    <row r="22" spans="4:4" x14ac:dyDescent="0.2">
      <c r="D22" t="s">
        <v>232</v>
      </c>
    </row>
    <row r="24" spans="4:4" x14ac:dyDescent="0.2">
      <c r="D24" t="s">
        <v>233</v>
      </c>
    </row>
    <row r="26" spans="4:4" x14ac:dyDescent="0.2">
      <c r="D26" t="s">
        <v>234</v>
      </c>
    </row>
    <row r="28" spans="4:4" x14ac:dyDescent="0.2">
      <c r="D28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="221" zoomScaleNormal="100" workbookViewId="0">
      <pane ySplit="3" topLeftCell="A7" activePane="bottomLeft" state="frozen"/>
      <selection pane="bottomLeft" activeCell="E9" sqref="E9"/>
    </sheetView>
  </sheetViews>
  <sheetFormatPr baseColWidth="10" defaultColWidth="8.6640625" defaultRowHeight="15" x14ac:dyDescent="0.2"/>
  <cols>
    <col min="1" max="1" width="28" customWidth="1"/>
    <col min="2" max="2" width="8" customWidth="1"/>
    <col min="3" max="3" width="34" customWidth="1"/>
    <col min="4" max="4" width="44" customWidth="1"/>
    <col min="5" max="5" width="62" customWidth="1"/>
  </cols>
  <sheetData>
    <row r="1" spans="1:5" ht="17" x14ac:dyDescent="0.2">
      <c r="A1" s="1" t="s">
        <v>124</v>
      </c>
    </row>
    <row r="3" spans="1:5" x14ac:dyDescent="0.2">
      <c r="A3" s="10" t="s">
        <v>125</v>
      </c>
      <c r="B3" s="10" t="s">
        <v>126</v>
      </c>
      <c r="C3" s="10" t="s">
        <v>127</v>
      </c>
      <c r="D3" s="10" t="s">
        <v>128</v>
      </c>
      <c r="E3" s="10" t="s">
        <v>129</v>
      </c>
    </row>
    <row r="4" spans="1:5" ht="39" x14ac:dyDescent="0.2">
      <c r="A4" s="5" t="s">
        <v>130</v>
      </c>
      <c r="B4" s="5" t="s">
        <v>131</v>
      </c>
      <c r="C4" s="5" t="s">
        <v>132</v>
      </c>
      <c r="D4" s="5" t="s">
        <v>133</v>
      </c>
      <c r="E4" s="8" t="s">
        <v>134</v>
      </c>
    </row>
    <row r="5" spans="1:5" x14ac:dyDescent="0.2">
      <c r="A5" s="5" t="s">
        <v>135</v>
      </c>
      <c r="B5" s="5" t="s">
        <v>136</v>
      </c>
      <c r="C5" s="5" t="s">
        <v>137</v>
      </c>
      <c r="D5" s="5" t="s">
        <v>138</v>
      </c>
      <c r="E5" s="8" t="s">
        <v>139</v>
      </c>
    </row>
    <row r="6" spans="1:5" ht="26" x14ac:dyDescent="0.2">
      <c r="A6" s="5" t="s">
        <v>140</v>
      </c>
      <c r="B6" s="5" t="s">
        <v>141</v>
      </c>
      <c r="C6" s="5" t="s">
        <v>142</v>
      </c>
      <c r="D6" s="5" t="s">
        <v>143</v>
      </c>
      <c r="E6" s="8" t="s">
        <v>144</v>
      </c>
    </row>
    <row r="7" spans="1:5" ht="26" x14ac:dyDescent="0.2">
      <c r="A7" s="5" t="s">
        <v>145</v>
      </c>
      <c r="B7" s="5" t="s">
        <v>146</v>
      </c>
      <c r="C7" s="5" t="s">
        <v>147</v>
      </c>
      <c r="D7" s="5" t="s">
        <v>148</v>
      </c>
      <c r="E7" s="8" t="s">
        <v>149</v>
      </c>
    </row>
    <row r="8" spans="1:5" x14ac:dyDescent="0.2">
      <c r="A8" s="5" t="s">
        <v>150</v>
      </c>
      <c r="B8" s="5" t="s">
        <v>151</v>
      </c>
      <c r="C8" s="5" t="s">
        <v>152</v>
      </c>
      <c r="D8" s="5" t="s">
        <v>153</v>
      </c>
      <c r="E8" s="8" t="s">
        <v>154</v>
      </c>
    </row>
    <row r="9" spans="1:5" x14ac:dyDescent="0.2">
      <c r="A9" s="5" t="s">
        <v>155</v>
      </c>
      <c r="B9" s="5" t="s">
        <v>156</v>
      </c>
      <c r="C9" s="5" t="s">
        <v>157</v>
      </c>
      <c r="D9" s="5" t="s">
        <v>158</v>
      </c>
      <c r="E9" s="8" t="s">
        <v>159</v>
      </c>
    </row>
    <row r="10" spans="1:5" ht="28" x14ac:dyDescent="0.2">
      <c r="A10" s="5" t="s">
        <v>155</v>
      </c>
      <c r="B10" s="5" t="s">
        <v>160</v>
      </c>
      <c r="C10" s="5" t="s">
        <v>161</v>
      </c>
      <c r="D10" s="5" t="s">
        <v>162</v>
      </c>
      <c r="E10" s="8" t="s">
        <v>163</v>
      </c>
    </row>
    <row r="11" spans="1:5" ht="28" x14ac:dyDescent="0.2">
      <c r="A11" s="5" t="s">
        <v>164</v>
      </c>
      <c r="B11" s="5" t="s">
        <v>165</v>
      </c>
      <c r="C11" s="5" t="s">
        <v>166</v>
      </c>
      <c r="D11" s="5" t="s">
        <v>167</v>
      </c>
      <c r="E11" s="8" t="s">
        <v>168</v>
      </c>
    </row>
    <row r="12" spans="1:5" ht="26" x14ac:dyDescent="0.2">
      <c r="A12" s="5" t="s">
        <v>169</v>
      </c>
      <c r="B12" s="5" t="s">
        <v>170</v>
      </c>
      <c r="C12" s="5" t="s">
        <v>171</v>
      </c>
      <c r="D12" s="5" t="s">
        <v>172</v>
      </c>
      <c r="E12" s="8" t="s">
        <v>173</v>
      </c>
    </row>
    <row r="13" spans="1:5" x14ac:dyDescent="0.2">
      <c r="A13" s="5" t="s">
        <v>174</v>
      </c>
      <c r="B13" s="5" t="s">
        <v>175</v>
      </c>
      <c r="C13" s="5" t="s">
        <v>176</v>
      </c>
      <c r="D13" s="5" t="s">
        <v>177</v>
      </c>
      <c r="E13" s="8" t="s">
        <v>178</v>
      </c>
    </row>
    <row r="14" spans="1:5" ht="28" x14ac:dyDescent="0.2">
      <c r="A14" s="5" t="s">
        <v>179</v>
      </c>
      <c r="B14" s="5" t="s">
        <v>131</v>
      </c>
      <c r="C14" s="5" t="s">
        <v>180</v>
      </c>
      <c r="D14" s="5" t="s">
        <v>181</v>
      </c>
      <c r="E14" s="8" t="s">
        <v>182</v>
      </c>
    </row>
    <row r="15" spans="1:5" x14ac:dyDescent="0.2">
      <c r="A15" s="5" t="s">
        <v>183</v>
      </c>
      <c r="B15" s="5" t="s">
        <v>160</v>
      </c>
      <c r="C15" s="5" t="s">
        <v>184</v>
      </c>
      <c r="D15" s="5" t="s">
        <v>185</v>
      </c>
      <c r="E15" s="8" t="s">
        <v>186</v>
      </c>
    </row>
    <row r="16" spans="1:5" x14ac:dyDescent="0.2">
      <c r="A16" s="5" t="s">
        <v>187</v>
      </c>
      <c r="B16" s="5" t="s">
        <v>160</v>
      </c>
      <c r="C16" s="5" t="s">
        <v>188</v>
      </c>
      <c r="D16" s="5" t="s">
        <v>189</v>
      </c>
      <c r="E16" s="8" t="s">
        <v>190</v>
      </c>
    </row>
    <row r="17" spans="1:5" x14ac:dyDescent="0.2">
      <c r="A17" s="5" t="s">
        <v>191</v>
      </c>
      <c r="B17" s="5" t="s">
        <v>192</v>
      </c>
      <c r="C17" s="5" t="s">
        <v>193</v>
      </c>
      <c r="D17" s="5" t="s">
        <v>194</v>
      </c>
      <c r="E17" s="8" t="s">
        <v>195</v>
      </c>
    </row>
    <row r="18" spans="1:5" x14ac:dyDescent="0.2">
      <c r="A18" s="5" t="s">
        <v>196</v>
      </c>
      <c r="B18" s="5" t="s">
        <v>165</v>
      </c>
      <c r="C18" s="5" t="s">
        <v>197</v>
      </c>
      <c r="D18" s="5" t="s">
        <v>198</v>
      </c>
      <c r="E18" s="8" t="s">
        <v>199</v>
      </c>
    </row>
    <row r="19" spans="1:5" x14ac:dyDescent="0.2">
      <c r="A19" s="5" t="s">
        <v>200</v>
      </c>
      <c r="B19" s="5" t="s">
        <v>201</v>
      </c>
      <c r="C19" s="5" t="s">
        <v>202</v>
      </c>
      <c r="D19" s="5" t="s">
        <v>203</v>
      </c>
      <c r="E19" s="8" t="s">
        <v>204</v>
      </c>
    </row>
    <row r="20" spans="1:5" ht="26" x14ac:dyDescent="0.2">
      <c r="A20" s="5" t="s">
        <v>205</v>
      </c>
      <c r="B20" s="5" t="s">
        <v>146</v>
      </c>
      <c r="C20" s="5" t="s">
        <v>206</v>
      </c>
      <c r="D20" s="5" t="s">
        <v>207</v>
      </c>
      <c r="E20" s="8" t="s">
        <v>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16" customWidth="1"/>
    <col min="3" max="3" width="64" customWidth="1"/>
    <col min="4" max="4" width="60" customWidth="1"/>
  </cols>
  <sheetData>
    <row r="1" spans="1:4" ht="17" x14ac:dyDescent="0.2">
      <c r="A1" s="1" t="s">
        <v>209</v>
      </c>
    </row>
    <row r="2" spans="1:4" ht="30" customHeight="1" x14ac:dyDescent="0.2">
      <c r="A2" s="16" t="s">
        <v>210</v>
      </c>
      <c r="B2" s="16"/>
      <c r="C2" s="16"/>
      <c r="D2" s="16"/>
    </row>
    <row r="4" spans="1:4" x14ac:dyDescent="0.2">
      <c r="A4" s="10" t="s">
        <v>6</v>
      </c>
      <c r="B4" s="10" t="s">
        <v>211</v>
      </c>
      <c r="C4" s="10" t="s">
        <v>212</v>
      </c>
      <c r="D4" s="10" t="s">
        <v>213</v>
      </c>
    </row>
    <row r="5" spans="1:4" ht="39" x14ac:dyDescent="0.2">
      <c r="A5" s="5" t="s">
        <v>214</v>
      </c>
      <c r="B5" s="5" t="s">
        <v>215</v>
      </c>
      <c r="C5" s="8" t="s">
        <v>216</v>
      </c>
      <c r="D5" s="8" t="s">
        <v>217</v>
      </c>
    </row>
    <row r="6" spans="1:4" ht="26" x14ac:dyDescent="0.2">
      <c r="A6" s="5" t="s">
        <v>218</v>
      </c>
      <c r="B6" s="5" t="s">
        <v>215</v>
      </c>
      <c r="C6" s="8" t="s">
        <v>219</v>
      </c>
      <c r="D6" s="8" t="s">
        <v>220</v>
      </c>
    </row>
    <row r="7" spans="1:4" ht="26" x14ac:dyDescent="0.2">
      <c r="A7" s="5" t="s">
        <v>221</v>
      </c>
      <c r="B7" s="5" t="s">
        <v>222</v>
      </c>
      <c r="C7" s="8" t="s">
        <v>223</v>
      </c>
      <c r="D7" s="8" t="s">
        <v>224</v>
      </c>
    </row>
    <row r="8" spans="1:4" ht="39" x14ac:dyDescent="0.2">
      <c r="A8" s="5" t="s">
        <v>225</v>
      </c>
      <c r="B8" s="5" t="s">
        <v>226</v>
      </c>
      <c r="C8" s="8" t="s">
        <v>227</v>
      </c>
      <c r="D8" s="8" t="s">
        <v>228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Features</vt:lpstr>
      <vt:lpstr>Feuil1</vt:lpstr>
      <vt:lpstr>Références</vt:lpstr>
      <vt:lpstr>Écartées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BIVIANO</cp:lastModifiedBy>
  <cp:revision>0</cp:revision>
  <dcterms:created xsi:type="dcterms:W3CDTF">2026-07-29T22:23:39Z</dcterms:created>
  <dcterms:modified xsi:type="dcterms:W3CDTF">2026-07-31T17:38:04Z</dcterms:modified>
  <dc:language>en-US</dc:language>
</cp:coreProperties>
</file>